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倒推总表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<sst xmlns="http://schemas.openxmlformats.org/spreadsheetml/2006/main" count="122" uniqueCount="119">
  <si>
    <r>
      <rPr>
        <b val="true"/>
        <sz val="18"/>
        <color rgb="FF1F3864"/>
        <rFont val="Microsoft YaHei"/>
        <family val="0"/>
        <charset val="1"/>
      </rPr>
      <t xml:space="preserve">2026</t>
    </r>
    <r>
      <rPr>
        <b val="true"/>
        <sz val="18"/>
        <color rgb="FF1F3864"/>
        <rFont val="Source Han Sans SC"/>
        <family val="2"/>
      </rPr>
      <t xml:space="preserve">年下半年损益平衡倒推模型</t>
    </r>
  </si>
  <si>
    <r>
      <rPr>
        <b val="true"/>
        <sz val="13"/>
        <color rgb="FF1F3864"/>
        <rFont val="Source Han Sans SC"/>
        <family val="2"/>
      </rPr>
      <t xml:space="preserve">逻辑：销售额</t>
    </r>
    <r>
      <rPr>
        <b val="true"/>
        <sz val="13"/>
        <color rgb="FF1F3864"/>
        <rFont val="Microsoft YaHei"/>
        <family val="0"/>
        <charset val="1"/>
      </rPr>
      <t xml:space="preserve">2400</t>
    </r>
    <r>
      <rPr>
        <b val="true"/>
        <sz val="13"/>
        <color rgb="FF1F3864"/>
        <rFont val="Source Han Sans SC"/>
        <family val="2"/>
      </rPr>
      <t xml:space="preserve">万 </t>
    </r>
    <r>
      <rPr>
        <b val="true"/>
        <sz val="13"/>
        <color rgb="FF1F3864"/>
        <rFont val="Microsoft YaHei"/>
        <family val="0"/>
        <charset val="1"/>
      </rPr>
      <t xml:space="preserve">× </t>
    </r>
    <r>
      <rPr>
        <b val="true"/>
        <sz val="13"/>
        <color rgb="FF1F3864"/>
        <rFont val="Source Han Sans SC"/>
        <family val="2"/>
      </rPr>
      <t xml:space="preserve">毛利率</t>
    </r>
    <r>
      <rPr>
        <b val="true"/>
        <sz val="13"/>
        <color rgb="FF1F3864"/>
        <rFont val="Microsoft YaHei"/>
        <family val="0"/>
        <charset val="1"/>
      </rPr>
      <t xml:space="preserve">28% → </t>
    </r>
    <r>
      <rPr>
        <b val="true"/>
        <sz val="13"/>
        <color rgb="FF1F3864"/>
        <rFont val="Source Han Sans SC"/>
        <family val="2"/>
      </rPr>
      <t xml:space="preserve">倒推各环节成本上限  </t>
    </r>
    <r>
      <rPr>
        <b val="true"/>
        <sz val="13"/>
        <color rgb="FF1F3864"/>
        <rFont val="Microsoft YaHei"/>
        <family val="0"/>
        <charset val="1"/>
      </rPr>
      <t xml:space="preserve">|  </t>
    </r>
    <r>
      <rPr>
        <b val="true"/>
        <sz val="13"/>
        <color rgb="FF1F3864"/>
        <rFont val="Source Han Sans SC"/>
        <family val="2"/>
      </rPr>
      <t xml:space="preserve">蓝色</t>
    </r>
    <r>
      <rPr>
        <b val="true"/>
        <sz val="13"/>
        <color rgb="FF1F3864"/>
        <rFont val="Microsoft YaHei"/>
        <family val="0"/>
        <charset val="1"/>
      </rPr>
      <t xml:space="preserve">=</t>
    </r>
    <r>
      <rPr>
        <b val="true"/>
        <sz val="13"/>
        <color rgb="FF1F3864"/>
        <rFont val="Source Han Sans SC"/>
        <family val="2"/>
      </rPr>
      <t xml:space="preserve">可调整输入  黑色</t>
    </r>
    <r>
      <rPr>
        <b val="true"/>
        <sz val="13"/>
        <color rgb="FF1F3864"/>
        <rFont val="Microsoft YaHei"/>
        <family val="0"/>
        <charset val="1"/>
      </rPr>
      <t xml:space="preserve">=</t>
    </r>
    <r>
      <rPr>
        <b val="true"/>
        <sz val="13"/>
        <color rgb="FF1F3864"/>
        <rFont val="Source Han Sans SC"/>
        <family val="2"/>
      </rPr>
      <t xml:space="preserve">公式自动算</t>
    </r>
  </si>
  <si>
    <t xml:space="preserve">一、已知目标（硬约束）</t>
  </si>
  <si>
    <t xml:space="preserve">项目</t>
  </si>
  <si>
    <t xml:space="preserve">目标值</t>
  </si>
  <si>
    <r>
      <rPr>
        <b val="true"/>
        <sz val="11"/>
        <color rgb="FFFFFFFF"/>
        <rFont val="Source Han Sans SC"/>
        <family val="2"/>
      </rPr>
      <t xml:space="preserve">单位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Source Han Sans SC"/>
        <family val="2"/>
      </rPr>
      <t xml:space="preserve">说明</t>
    </r>
  </si>
  <si>
    <t xml:space="preserve">备注</t>
  </si>
  <si>
    <t xml:space="preserve">目标销售额</t>
  </si>
  <si>
    <t xml:space="preserve">经营会决议下限</t>
  </si>
  <si>
    <t xml:space="preserve">可调整</t>
  </si>
  <si>
    <t xml:space="preserve">目标毛利率</t>
  </si>
  <si>
    <t xml:space="preserve">倒推约束条件</t>
  </si>
  <si>
    <t xml:space="preserve">目标净利润</t>
  </si>
  <si>
    <t xml:space="preserve">不亏本硬约束</t>
  </si>
  <si>
    <t xml:space="preserve">二、毛利与总成本倒推</t>
  </si>
  <si>
    <r>
      <rPr>
        <b val="true"/>
        <sz val="11"/>
        <color rgb="FFFFFFFF"/>
        <rFont val="Source Han Sans SC"/>
        <family val="2"/>
      </rPr>
      <t xml:space="preserve">金额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Source Han Sans SC"/>
        <family val="2"/>
      </rPr>
      <t xml:space="preserve">万元</t>
    </r>
    <r>
      <rPr>
        <b val="true"/>
        <sz val="11"/>
        <color rgb="FFFFFFFF"/>
        <rFont val="Microsoft YaHei"/>
        <family val="0"/>
        <charset val="1"/>
      </rPr>
      <t xml:space="preserve">)</t>
    </r>
  </si>
  <si>
    <t xml:space="preserve">占销售额比</t>
  </si>
  <si>
    <t xml:space="preserve">公式逻辑</t>
  </si>
  <si>
    <t xml:space="preserve">目标毛利额</t>
  </si>
  <si>
    <r>
      <rPr>
        <sz val="10"/>
        <color rgb="FF008000"/>
        <rFont val="Source Han Sans SC"/>
        <family val="2"/>
      </rPr>
      <t xml:space="preserve">销售额 </t>
    </r>
    <r>
      <rPr>
        <sz val="10"/>
        <color rgb="FF008000"/>
        <rFont val="Microsoft YaHei"/>
        <family val="0"/>
        <charset val="1"/>
      </rPr>
      <t xml:space="preserve">× </t>
    </r>
    <r>
      <rPr>
        <sz val="10"/>
        <color rgb="FF008000"/>
        <rFont val="Source Han Sans SC"/>
        <family val="2"/>
      </rPr>
      <t xml:space="preserve">毛利率</t>
    </r>
  </si>
  <si>
    <t xml:space="preserve">目标总成本上限</t>
  </si>
  <si>
    <r>
      <rPr>
        <sz val="10"/>
        <color rgb="FF008000"/>
        <rFont val="Source Han Sans SC"/>
        <family val="2"/>
      </rPr>
      <t xml:space="preserve">销售额 </t>
    </r>
    <r>
      <rPr>
        <sz val="10"/>
        <color rgb="FF008000"/>
        <rFont val="Microsoft YaHei"/>
        <family val="0"/>
        <charset val="1"/>
      </rPr>
      <t xml:space="preserve">- </t>
    </r>
    <r>
      <rPr>
        <sz val="10"/>
        <color rgb="FF008000"/>
        <rFont val="Source Han Sans SC"/>
        <family val="2"/>
      </rPr>
      <t xml:space="preserve">毛利额</t>
    </r>
  </si>
  <si>
    <t xml:space="preserve">成本率上限</t>
  </si>
  <si>
    <r>
      <rPr>
        <sz val="10"/>
        <color rgb="FF008000"/>
        <rFont val="Source Han Sans SC"/>
        <family val="2"/>
      </rPr>
      <t xml:space="preserve">总成本 </t>
    </r>
    <r>
      <rPr>
        <sz val="10"/>
        <color rgb="FF008000"/>
        <rFont val="Microsoft YaHei"/>
        <family val="0"/>
        <charset val="1"/>
      </rPr>
      <t xml:space="preserve">/ </t>
    </r>
    <r>
      <rPr>
        <sz val="10"/>
        <color rgb="FF008000"/>
        <rFont val="Source Han Sans SC"/>
        <family val="2"/>
      </rPr>
      <t xml:space="preserve">销售额</t>
    </r>
  </si>
  <si>
    <r>
      <rPr>
        <b val="true"/>
        <sz val="13"/>
        <color rgb="FF1F3864"/>
        <rFont val="Source Han Sans SC"/>
        <family val="2"/>
      </rPr>
      <t xml:space="preserve">三、成本结构拆解（成本率</t>
    </r>
    <r>
      <rPr>
        <b val="true"/>
        <sz val="13"/>
        <color rgb="FF1F3864"/>
        <rFont val="Microsoft YaHei"/>
        <family val="0"/>
        <charset val="1"/>
      </rPr>
      <t xml:space="preserve">72%</t>
    </r>
    <r>
      <rPr>
        <b val="true"/>
        <sz val="13"/>
        <color rgb="FF1F3864"/>
        <rFont val="Source Han Sans SC"/>
        <family val="2"/>
      </rPr>
      <t xml:space="preserve">分配给各科目）</t>
    </r>
  </si>
  <si>
    <t xml:space="preserve">成本科目</t>
  </si>
  <si>
    <t xml:space="preserve">占销售额比（输入）</t>
  </si>
  <si>
    <r>
      <rPr>
        <b val="true"/>
        <sz val="11"/>
        <color rgb="FFFFFFFF"/>
        <rFont val="Source Han Sans SC"/>
        <family val="2"/>
      </rPr>
      <t xml:space="preserve">金额上限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Source Han Sans SC"/>
        <family val="2"/>
      </rPr>
      <t xml:space="preserve">万元</t>
    </r>
    <r>
      <rPr>
        <b val="true"/>
        <sz val="11"/>
        <color rgb="FFFFFFFF"/>
        <rFont val="Microsoft YaHei"/>
        <family val="0"/>
        <charset val="1"/>
      </rPr>
      <t xml:space="preserve">)</t>
    </r>
  </si>
  <si>
    <t xml:space="preserve">控制策略</t>
  </si>
  <si>
    <t xml:space="preserve">直接材料</t>
  </si>
  <si>
    <r>
      <rPr>
        <sz val="10"/>
        <color rgb="FF008000"/>
        <rFont val="Source Han Sans SC"/>
        <family val="2"/>
      </rPr>
      <t xml:space="preserve">采购降价</t>
    </r>
    <r>
      <rPr>
        <sz val="10"/>
        <color rgb="FF008000"/>
        <rFont val="Microsoft YaHei"/>
        <family val="0"/>
        <charset val="1"/>
      </rPr>
      <t xml:space="preserve">+</t>
    </r>
    <r>
      <rPr>
        <sz val="10"/>
        <color rgb="FF008000"/>
        <rFont val="Source Han Sans SC"/>
        <family val="2"/>
      </rPr>
      <t xml:space="preserve">订单结构优化（核心抓手）</t>
    </r>
  </si>
  <si>
    <t xml:space="preserve">直接人工</t>
  </si>
  <si>
    <r>
      <rPr>
        <sz val="10"/>
        <color rgb="FF008000"/>
        <rFont val="Source Han Sans SC"/>
        <family val="2"/>
      </rPr>
      <t xml:space="preserve">人均产出提升</t>
    </r>
    <r>
      <rPr>
        <sz val="10"/>
        <color rgb="FF008000"/>
        <rFont val="Microsoft YaHei"/>
        <family val="0"/>
        <charset val="1"/>
      </rPr>
      <t xml:space="preserve">/</t>
    </r>
    <r>
      <rPr>
        <sz val="10"/>
        <color rgb="FF008000"/>
        <rFont val="Source Han Sans SC"/>
        <family val="2"/>
      </rPr>
      <t xml:space="preserve">加班管控</t>
    </r>
  </si>
  <si>
    <t xml:space="preserve">制造费用</t>
  </si>
  <si>
    <r>
      <rPr>
        <sz val="10"/>
        <color rgb="FF008000"/>
        <rFont val="Source Han Sans SC"/>
        <family val="2"/>
      </rPr>
      <t xml:space="preserve">产能利用率爬坡</t>
    </r>
    <r>
      <rPr>
        <sz val="10"/>
        <color rgb="FF008000"/>
        <rFont val="Microsoft YaHei"/>
        <family val="0"/>
        <charset val="1"/>
      </rPr>
      <t xml:space="preserve">/</t>
    </r>
    <r>
      <rPr>
        <sz val="10"/>
        <color rgb="FF008000"/>
        <rFont val="Source Han Sans SC"/>
        <family val="2"/>
      </rPr>
      <t xml:space="preserve">能耗管控</t>
    </r>
  </si>
  <si>
    <t xml:space="preserve">固定费用</t>
  </si>
  <si>
    <r>
      <rPr>
        <sz val="10"/>
        <color rgb="FF008000"/>
        <rFont val="Source Han Sans SC"/>
        <family val="2"/>
      </rPr>
      <t xml:space="preserve">组织瘦身</t>
    </r>
    <r>
      <rPr>
        <sz val="10"/>
        <color rgb="FF008000"/>
        <rFont val="Microsoft YaHei"/>
        <family val="0"/>
        <charset val="1"/>
      </rPr>
      <t xml:space="preserve">+</t>
    </r>
    <r>
      <rPr>
        <sz val="10"/>
        <color rgb="FF008000"/>
        <rFont val="Source Han Sans SC"/>
        <family val="2"/>
      </rPr>
      <t xml:space="preserve">费用冻结（详见模块四）</t>
    </r>
  </si>
  <si>
    <t xml:space="preserve">不可预见费</t>
  </si>
  <si>
    <r>
      <rPr>
        <sz val="10"/>
        <color rgb="FF008000"/>
        <rFont val="Source Han Sans SC"/>
        <family val="2"/>
      </rPr>
      <t xml:space="preserve">预留缓冲（默认</t>
    </r>
    <r>
      <rPr>
        <sz val="10"/>
        <color rgb="FF008000"/>
        <rFont val="Microsoft YaHei"/>
        <family val="0"/>
        <charset val="1"/>
      </rPr>
      <t xml:space="preserve">0</t>
    </r>
    <r>
      <rPr>
        <sz val="10"/>
        <color rgb="FF008000"/>
        <rFont val="Source Han Sans SC"/>
        <family val="2"/>
      </rPr>
      <t xml:space="preserve">，有空间再加）</t>
    </r>
  </si>
  <si>
    <r>
      <rPr>
        <b val="true"/>
        <sz val="11"/>
        <color rgb="FFC00000"/>
        <rFont val="Source Han Sans SC"/>
        <family val="2"/>
      </rPr>
      <t xml:space="preserve">成本合计占比</t>
    </r>
    <r>
      <rPr>
        <b val="true"/>
        <sz val="11"/>
        <color rgb="FFC00000"/>
        <rFont val="Microsoft YaHei"/>
        <family val="0"/>
        <charset val="1"/>
      </rPr>
      <t xml:space="preserve">/</t>
    </r>
    <r>
      <rPr>
        <b val="true"/>
        <sz val="11"/>
        <color rgb="FFC00000"/>
        <rFont val="Source Han Sans SC"/>
        <family val="2"/>
      </rPr>
      <t xml:space="preserve">金额</t>
    </r>
  </si>
  <si>
    <r>
      <rPr>
        <b val="true"/>
        <sz val="11"/>
        <color rgb="FFC00000"/>
        <rFont val="Source Han Sans SC"/>
        <family val="2"/>
      </rPr>
      <t xml:space="preserve">须</t>
    </r>
    <r>
      <rPr>
        <b val="true"/>
        <sz val="11"/>
        <color rgb="FFC00000"/>
        <rFont val="Microsoft YaHei"/>
        <family val="0"/>
        <charset val="1"/>
      </rPr>
      <t xml:space="preserve">=72%</t>
    </r>
    <r>
      <rPr>
        <b val="true"/>
        <sz val="11"/>
        <color rgb="FFC00000"/>
        <rFont val="Source Han Sans SC"/>
        <family val="2"/>
      </rPr>
      <t xml:space="preserve">且不超总成本上限</t>
    </r>
  </si>
  <si>
    <r>
      <rPr>
        <b val="true"/>
        <sz val="11"/>
        <color rgb="FF333333"/>
        <rFont val="Source Han Sans SC"/>
        <family val="2"/>
      </rPr>
      <t xml:space="preserve">→ 验证：</t>
    </r>
    <r>
      <rPr>
        <b val="true"/>
        <sz val="11"/>
        <color rgb="FF333333"/>
        <rFont val="Microsoft YaHei"/>
        <family val="0"/>
        <charset val="1"/>
      </rPr>
      <t xml:space="preserve">1 - </t>
    </r>
    <r>
      <rPr>
        <b val="true"/>
        <sz val="11"/>
        <color rgb="FF333333"/>
        <rFont val="Source Han Sans SC"/>
        <family val="2"/>
      </rPr>
      <t xml:space="preserve">成本率 </t>
    </r>
    <r>
      <rPr>
        <b val="true"/>
        <sz val="11"/>
        <color rgb="FF333333"/>
        <rFont val="Microsoft YaHei"/>
        <family val="0"/>
        <charset val="1"/>
      </rPr>
      <t xml:space="preserve">= </t>
    </r>
    <r>
      <rPr>
        <b val="true"/>
        <sz val="11"/>
        <color rgb="FF333333"/>
        <rFont val="Source Han Sans SC"/>
        <family val="2"/>
      </rPr>
      <t xml:space="preserve">实际毛利率</t>
    </r>
  </si>
  <si>
    <r>
      <rPr>
        <sz val="10"/>
        <color rgb="FF008000"/>
        <rFont val="Source Han Sans SC"/>
        <family val="2"/>
      </rPr>
      <t xml:space="preserve">须≥目标毛利率</t>
    </r>
    <r>
      <rPr>
        <sz val="10"/>
        <color rgb="FF008000"/>
        <rFont val="Microsoft YaHei"/>
        <family val="0"/>
        <charset val="1"/>
      </rPr>
      <t xml:space="preserve">8</t>
    </r>
  </si>
  <si>
    <r>
      <rPr>
        <b val="true"/>
        <sz val="13"/>
        <color rgb="FF1F3864"/>
        <rFont val="Source Han Sans SC"/>
        <family val="2"/>
      </rPr>
      <t xml:space="preserve">四、固定费用明细拆解（占总销售额</t>
    </r>
    <r>
      <rPr>
        <b val="true"/>
        <sz val="13"/>
        <color rgb="FF1F3864"/>
        <rFont val="Microsoft YaHei"/>
        <family val="0"/>
        <charset val="1"/>
      </rPr>
      <t xml:space="preserve">5% = 120</t>
    </r>
    <r>
      <rPr>
        <b val="true"/>
        <sz val="13"/>
        <color rgb="FF1F3864"/>
        <rFont val="Source Han Sans SC"/>
        <family val="2"/>
      </rPr>
      <t xml:space="preserve">万</t>
    </r>
    <r>
      <rPr>
        <b val="true"/>
        <sz val="13"/>
        <color rgb="FF1F3864"/>
        <rFont val="Microsoft YaHei"/>
        <family val="0"/>
        <charset val="1"/>
      </rPr>
      <t xml:space="preserve">/</t>
    </r>
    <r>
      <rPr>
        <b val="true"/>
        <sz val="13"/>
        <color rgb="FF1F3864"/>
        <rFont val="Source Han Sans SC"/>
        <family val="2"/>
      </rPr>
      <t xml:space="preserve">半年）</t>
    </r>
  </si>
  <si>
    <t xml:space="preserve">费用科目</t>
  </si>
  <si>
    <r>
      <rPr>
        <b val="true"/>
        <sz val="11"/>
        <color rgb="FFFFFFFF"/>
        <rFont val="Source Han Sans SC"/>
        <family val="2"/>
      </rPr>
      <t xml:space="preserve">月均上限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Source Han Sans SC"/>
        <family val="2"/>
      </rPr>
      <t xml:space="preserve">万元</t>
    </r>
    <r>
      <rPr>
        <b val="true"/>
        <sz val="11"/>
        <color rgb="FFFFFFFF"/>
        <rFont val="Microsoft YaHei"/>
        <family val="0"/>
        <charset val="1"/>
      </rPr>
      <t xml:space="preserve">)</t>
    </r>
  </si>
  <si>
    <r>
      <rPr>
        <b val="true"/>
        <sz val="11"/>
        <color rgb="FFFFFFFF"/>
        <rFont val="Source Han Sans SC"/>
        <family val="2"/>
      </rPr>
      <t xml:space="preserve">半年上限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Source Han Sans SC"/>
        <family val="2"/>
      </rPr>
      <t xml:space="preserve">万元</t>
    </r>
    <r>
      <rPr>
        <b val="true"/>
        <sz val="11"/>
        <color rgb="FFFFFFFF"/>
        <rFont val="Microsoft YaHei"/>
        <family val="0"/>
        <charset val="1"/>
      </rPr>
      <t xml:space="preserve">)</t>
    </r>
  </si>
  <si>
    <r>
      <rPr>
        <b val="true"/>
        <sz val="11"/>
        <color rgb="FFFFFFFF"/>
        <rFont val="Source Han Sans SC"/>
        <family val="2"/>
      </rPr>
      <t xml:space="preserve">压降要求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Source Han Sans SC"/>
        <family val="2"/>
      </rPr>
      <t xml:space="preserve">责任人</t>
    </r>
  </si>
  <si>
    <t xml:space="preserve">间接人员薪酬及社保</t>
  </si>
  <si>
    <r>
      <rPr>
        <sz val="10"/>
        <color rgb="FF008000"/>
        <rFont val="Microsoft YaHei"/>
        <family val="0"/>
        <charset val="1"/>
      </rPr>
      <t xml:space="preserve">HR</t>
    </r>
    <r>
      <rPr>
        <sz val="10"/>
        <color rgb="FF008000"/>
        <rFont val="Source Han Sans SC"/>
        <family val="2"/>
      </rPr>
      <t xml:space="preserve">主责：间接岗从</t>
    </r>
    <r>
      <rPr>
        <sz val="10"/>
        <color rgb="FF008000"/>
        <rFont val="Microsoft YaHei"/>
        <family val="0"/>
        <charset val="1"/>
      </rPr>
      <t xml:space="preserve">75</t>
    </r>
    <r>
      <rPr>
        <sz val="10"/>
        <color rgb="FF008000"/>
        <rFont val="Source Han Sans SC"/>
        <family val="2"/>
      </rPr>
      <t xml:space="preserve">人减至</t>
    </r>
    <r>
      <rPr>
        <sz val="10"/>
        <color rgb="FF008000"/>
        <rFont val="Microsoft YaHei"/>
        <family val="0"/>
        <charset val="1"/>
      </rPr>
      <t xml:space="preserve">67</t>
    </r>
    <r>
      <rPr>
        <sz val="10"/>
        <color rgb="FF008000"/>
        <rFont val="Source Han Sans SC"/>
        <family val="2"/>
      </rPr>
      <t xml:space="preserve">人</t>
    </r>
  </si>
  <si>
    <r>
      <rPr>
        <b val="true"/>
        <sz val="11"/>
        <color rgb="FF333333"/>
        <rFont val="Source Han Sans SC"/>
        <family val="2"/>
      </rPr>
      <t xml:space="preserve">后勤</t>
    </r>
    <r>
      <rPr>
        <b val="true"/>
        <sz val="11"/>
        <color rgb="FF333333"/>
        <rFont val="Microsoft YaHei"/>
        <family val="0"/>
        <charset val="1"/>
      </rPr>
      <t xml:space="preserve">/</t>
    </r>
    <r>
      <rPr>
        <b val="true"/>
        <sz val="11"/>
        <color rgb="FF333333"/>
        <rFont val="Source Han Sans SC"/>
        <family val="2"/>
      </rPr>
      <t xml:space="preserve">行政工资</t>
    </r>
  </si>
  <si>
    <r>
      <rPr>
        <sz val="10"/>
        <color rgb="FF008000"/>
        <rFont val="Source Han Sans SC"/>
        <family val="2"/>
      </rPr>
      <t xml:space="preserve">合并职能</t>
    </r>
    <r>
      <rPr>
        <sz val="10"/>
        <color rgb="FF008000"/>
        <rFont val="Microsoft YaHei"/>
        <family val="0"/>
        <charset val="1"/>
      </rPr>
      <t xml:space="preserve">/</t>
    </r>
    <r>
      <rPr>
        <sz val="10"/>
        <color rgb="FF008000"/>
        <rFont val="Source Han Sans SC"/>
        <family val="2"/>
      </rPr>
      <t xml:space="preserve">兼岗</t>
    </r>
  </si>
  <si>
    <r>
      <rPr>
        <b val="true"/>
        <sz val="11"/>
        <color rgb="FF333333"/>
        <rFont val="Source Han Sans SC"/>
        <family val="2"/>
      </rPr>
      <t xml:space="preserve">奖金</t>
    </r>
    <r>
      <rPr>
        <b val="true"/>
        <sz val="11"/>
        <color rgb="FF333333"/>
        <rFont val="Microsoft YaHei"/>
        <family val="0"/>
        <charset val="1"/>
      </rPr>
      <t xml:space="preserve">/</t>
    </r>
    <r>
      <rPr>
        <b val="true"/>
        <sz val="11"/>
        <color rgb="FF333333"/>
        <rFont val="Source Han Sans SC"/>
        <family val="2"/>
      </rPr>
      <t xml:space="preserve">提成</t>
    </r>
  </si>
  <si>
    <t xml:space="preserve">与营收达成强挂钩，未达成不发放</t>
  </si>
  <si>
    <r>
      <rPr>
        <b val="true"/>
        <sz val="11"/>
        <color rgb="FF333333"/>
        <rFont val="Source Han Sans SC"/>
        <family val="2"/>
      </rPr>
      <t xml:space="preserve">办公</t>
    </r>
    <r>
      <rPr>
        <b val="true"/>
        <sz val="11"/>
        <color rgb="FF333333"/>
        <rFont val="Microsoft YaHei"/>
        <family val="0"/>
        <charset val="1"/>
      </rPr>
      <t xml:space="preserve">/</t>
    </r>
    <r>
      <rPr>
        <b val="true"/>
        <sz val="11"/>
        <color rgb="FF333333"/>
        <rFont val="Source Han Sans SC"/>
        <family val="2"/>
      </rPr>
      <t xml:space="preserve">能耗</t>
    </r>
    <r>
      <rPr>
        <b val="true"/>
        <sz val="11"/>
        <color rgb="FF333333"/>
        <rFont val="Microsoft YaHei"/>
        <family val="0"/>
        <charset val="1"/>
      </rPr>
      <t xml:space="preserve">/</t>
    </r>
    <r>
      <rPr>
        <b val="true"/>
        <sz val="11"/>
        <color rgb="FF333333"/>
        <rFont val="Source Han Sans SC"/>
        <family val="2"/>
      </rPr>
      <t xml:space="preserve">维修</t>
    </r>
  </si>
  <si>
    <t xml:space="preserve">非必要支出冻结</t>
  </si>
  <si>
    <r>
      <rPr>
        <b val="true"/>
        <sz val="11"/>
        <color rgb="FF333333"/>
        <rFont val="Source Han Sans SC"/>
        <family val="2"/>
      </rPr>
      <t xml:space="preserve">业务招待</t>
    </r>
    <r>
      <rPr>
        <b val="true"/>
        <sz val="11"/>
        <color rgb="FF333333"/>
        <rFont val="Microsoft YaHei"/>
        <family val="0"/>
        <charset val="1"/>
      </rPr>
      <t xml:space="preserve">/</t>
    </r>
    <r>
      <rPr>
        <b val="true"/>
        <sz val="11"/>
        <color rgb="FF333333"/>
        <rFont val="Source Han Sans SC"/>
        <family val="2"/>
      </rPr>
      <t xml:space="preserve">差旅</t>
    </r>
  </si>
  <si>
    <t xml:space="preserve">仅保留客户必需，需审批</t>
  </si>
  <si>
    <r>
      <rPr>
        <b val="true"/>
        <sz val="11"/>
        <color rgb="FF333333"/>
        <rFont val="Source Han Sans SC"/>
        <family val="2"/>
      </rPr>
      <t xml:space="preserve">折旧</t>
    </r>
    <r>
      <rPr>
        <b val="true"/>
        <sz val="11"/>
        <color rgb="FF333333"/>
        <rFont val="Microsoft YaHei"/>
        <family val="0"/>
        <charset val="1"/>
      </rPr>
      <t xml:space="preserve">/</t>
    </r>
    <r>
      <rPr>
        <b val="true"/>
        <sz val="11"/>
        <color rgb="FF333333"/>
        <rFont val="Source Han Sans SC"/>
        <family val="2"/>
      </rPr>
      <t xml:space="preserve">摊销</t>
    </r>
  </si>
  <si>
    <t xml:space="preserve">刚性不可调</t>
  </si>
  <si>
    <r>
      <rPr>
        <b val="true"/>
        <sz val="11"/>
        <color rgb="FF333333"/>
        <rFont val="Source Han Sans SC"/>
        <family val="2"/>
      </rPr>
      <t xml:space="preserve">其他</t>
    </r>
    <r>
      <rPr>
        <b val="true"/>
        <sz val="11"/>
        <color rgb="FF333333"/>
        <rFont val="Microsoft YaHei"/>
        <family val="0"/>
        <charset val="1"/>
      </rPr>
      <t xml:space="preserve">/</t>
    </r>
    <r>
      <rPr>
        <b val="true"/>
        <sz val="11"/>
        <color rgb="FF333333"/>
        <rFont val="Source Han Sans SC"/>
        <family val="2"/>
      </rPr>
      <t xml:space="preserve">预留</t>
    </r>
  </si>
  <si>
    <t xml:space="preserve">质量索赔等</t>
  </si>
  <si>
    <r>
      <rPr>
        <b val="true"/>
        <sz val="11"/>
        <color rgb="FFC00000"/>
        <rFont val="Source Han Sans SC"/>
        <family val="2"/>
      </rPr>
      <t xml:space="preserve">月均</t>
    </r>
    <r>
      <rPr>
        <b val="true"/>
        <sz val="11"/>
        <color rgb="FFC00000"/>
        <rFont val="Microsoft YaHei"/>
        <family val="0"/>
        <charset val="1"/>
      </rPr>
      <t xml:space="preserve">/</t>
    </r>
    <r>
      <rPr>
        <b val="true"/>
        <sz val="11"/>
        <color rgb="FFC00000"/>
        <rFont val="Source Han Sans SC"/>
        <family val="2"/>
      </rPr>
      <t xml:space="preserve">半年固定费用合计</t>
    </r>
  </si>
  <si>
    <r>
      <rPr>
        <b val="true"/>
        <sz val="11"/>
        <color rgb="FFC00000"/>
        <rFont val="Source Han Sans SC"/>
        <family val="2"/>
      </rPr>
      <t xml:space="preserve">须≤</t>
    </r>
    <r>
      <rPr>
        <b val="true"/>
        <sz val="11"/>
        <color rgb="FFC00000"/>
        <rFont val="Microsoft YaHei"/>
        <family val="0"/>
        <charset val="1"/>
      </rPr>
      <t xml:space="preserve">20</t>
    </r>
    <r>
      <rPr>
        <b val="true"/>
        <sz val="11"/>
        <color rgb="FFC00000"/>
        <rFont val="Source Han Sans SC"/>
        <family val="2"/>
      </rPr>
      <t xml:space="preserve">万</t>
    </r>
    <r>
      <rPr>
        <b val="true"/>
        <sz val="11"/>
        <color rgb="FFC00000"/>
        <rFont val="Microsoft YaHei"/>
        <family val="0"/>
        <charset val="1"/>
      </rPr>
      <t xml:space="preserve">/</t>
    </r>
    <r>
      <rPr>
        <b val="true"/>
        <sz val="11"/>
        <color rgb="FFC00000"/>
        <rFont val="Source Han Sans SC"/>
        <family val="2"/>
      </rPr>
      <t xml:space="preserve">月（</t>
    </r>
    <r>
      <rPr>
        <b val="true"/>
        <sz val="11"/>
        <color rgb="FFC00000"/>
        <rFont val="Microsoft YaHei"/>
        <family val="0"/>
        <charset val="1"/>
      </rPr>
      <t xml:space="preserve">=2400×5%÷6</t>
    </r>
    <r>
      <rPr>
        <b val="true"/>
        <sz val="11"/>
        <color rgb="FFC00000"/>
        <rFont val="Source Han Sans SC"/>
        <family val="2"/>
      </rPr>
      <t xml:space="preserve">）</t>
    </r>
  </si>
  <si>
    <t xml:space="preserve">五、保本点校验（闭环验证）</t>
  </si>
  <si>
    <t xml:space="preserve">校验项目</t>
  </si>
  <si>
    <t xml:space="preserve">计算结果</t>
  </si>
  <si>
    <t xml:space="preserve">判断标准</t>
  </si>
  <si>
    <t xml:space="preserve">结论</t>
  </si>
  <si>
    <r>
      <rPr>
        <b val="true"/>
        <sz val="11"/>
        <color rgb="FF333333"/>
        <rFont val="Source Han Sans SC"/>
        <family val="2"/>
      </rPr>
      <t xml:space="preserve">保本销售额 </t>
    </r>
    <r>
      <rPr>
        <b val="true"/>
        <sz val="11"/>
        <color rgb="FF333333"/>
        <rFont val="Microsoft YaHei"/>
        <family val="0"/>
        <charset val="1"/>
      </rPr>
      <t xml:space="preserve">= </t>
    </r>
    <r>
      <rPr>
        <b val="true"/>
        <sz val="11"/>
        <color rgb="FF333333"/>
        <rFont val="Source Han Sans SC"/>
        <family val="2"/>
      </rPr>
      <t xml:space="preserve">固定费用</t>
    </r>
    <r>
      <rPr>
        <b val="true"/>
        <sz val="11"/>
        <color rgb="FF333333"/>
        <rFont val="Microsoft YaHei"/>
        <family val="0"/>
        <charset val="1"/>
      </rPr>
      <t xml:space="preserve">÷</t>
    </r>
    <r>
      <rPr>
        <b val="true"/>
        <sz val="11"/>
        <color rgb="FF333333"/>
        <rFont val="Source Han Sans SC"/>
        <family val="2"/>
      </rPr>
      <t xml:space="preserve">毛利率</t>
    </r>
  </si>
  <si>
    <r>
      <rPr>
        <i val="true"/>
        <sz val="9"/>
        <color rgb="FF888888"/>
        <rFont val="Microsoft YaHei"/>
        <family val="0"/>
        <charset val="1"/>
      </rPr>
      <t xml:space="preserve">≤2400</t>
    </r>
    <r>
      <rPr>
        <i val="true"/>
        <sz val="9"/>
        <color rgb="FF888888"/>
        <rFont val="Source Han Sans SC"/>
        <family val="2"/>
      </rPr>
      <t xml:space="preserve">万</t>
    </r>
  </si>
  <si>
    <r>
      <rPr>
        <b val="true"/>
        <sz val="11"/>
        <color rgb="FF333333"/>
        <rFont val="Source Han Sans SC"/>
        <family val="2"/>
      </rPr>
      <t xml:space="preserve">目标毛利额 </t>
    </r>
    <r>
      <rPr>
        <b val="true"/>
        <sz val="11"/>
        <color rgb="FF333333"/>
        <rFont val="Microsoft YaHei"/>
        <family val="0"/>
        <charset val="1"/>
      </rPr>
      <t xml:space="preserve">- </t>
    </r>
    <r>
      <rPr>
        <b val="true"/>
        <sz val="11"/>
        <color rgb="FF333333"/>
        <rFont val="Source Han Sans SC"/>
        <family val="2"/>
      </rPr>
      <t xml:space="preserve">固定费用</t>
    </r>
  </si>
  <si>
    <r>
      <rPr>
        <i val="true"/>
        <sz val="9"/>
        <color rgb="FF888888"/>
        <rFont val="Microsoft YaHei"/>
        <family val="0"/>
        <charset val="1"/>
      </rPr>
      <t xml:space="preserve">≥0</t>
    </r>
    <r>
      <rPr>
        <i val="true"/>
        <sz val="9"/>
        <color rgb="FF888888"/>
        <rFont val="Source Han Sans SC"/>
        <family val="2"/>
      </rPr>
      <t xml:space="preserve">（不亏）</t>
    </r>
  </si>
  <si>
    <t xml:space="preserve">≤72%</t>
  </si>
  <si>
    <t xml:space="preserve">固定费用占销售额比</t>
  </si>
  <si>
    <t xml:space="preserve">≤5%</t>
  </si>
  <si>
    <t xml:space="preserve">六、敏感性分析（不同毛利率下的保本销售额）</t>
  </si>
  <si>
    <t xml:space="preserve">情景</t>
  </si>
  <si>
    <t xml:space="preserve">假设毛利率</t>
  </si>
  <si>
    <r>
      <rPr>
        <b val="true"/>
        <sz val="11"/>
        <color rgb="FFFFFFFF"/>
        <rFont val="Source Han Sans SC"/>
        <family val="2"/>
      </rPr>
      <t xml:space="preserve">保本销售额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Source Han Sans SC"/>
        <family val="2"/>
      </rPr>
      <t xml:space="preserve">万元</t>
    </r>
    <r>
      <rPr>
        <b val="true"/>
        <sz val="11"/>
        <color rgb="FFFFFFFF"/>
        <rFont val="Microsoft YaHei"/>
        <family val="0"/>
        <charset val="1"/>
      </rPr>
      <t xml:space="preserve">)</t>
    </r>
  </si>
  <si>
    <r>
      <rPr>
        <b val="true"/>
        <sz val="11"/>
        <color rgb="FFFFFFFF"/>
        <rFont val="Microsoft YaHei"/>
        <family val="0"/>
        <charset val="1"/>
      </rPr>
      <t xml:space="preserve">2400</t>
    </r>
    <r>
      <rPr>
        <b val="true"/>
        <sz val="11"/>
        <color rgb="FFFFFFFF"/>
        <rFont val="Source Han Sans SC"/>
        <family val="2"/>
      </rPr>
      <t xml:space="preserve">万下盈亏</t>
    </r>
  </si>
  <si>
    <t xml:space="preserve">乐观</t>
  </si>
  <si>
    <t xml:space="preserve">盈利</t>
  </si>
  <si>
    <t xml:space="preserve">目标</t>
  </si>
  <si>
    <t xml:space="preserve">盈亏平衡</t>
  </si>
  <si>
    <t xml:space="preserve">保守</t>
  </si>
  <si>
    <t xml:space="preserve">微亏</t>
  </si>
  <si>
    <t xml:space="preserve">悲观</t>
  </si>
  <si>
    <t xml:space="preserve">亏损</t>
  </si>
  <si>
    <t xml:space="preserve">极限</t>
  </si>
  <si>
    <t xml:space="preserve">严重亏损</t>
  </si>
  <si>
    <t xml:space="preserve">七、月度追踪红黄绿灯阈值</t>
  </si>
  <si>
    <t xml:space="preserve">监控指标</t>
  </si>
  <si>
    <t xml:space="preserve">绿灯（正常）</t>
  </si>
  <si>
    <t xml:space="preserve">黄灯（预警）</t>
  </si>
  <si>
    <t xml:space="preserve">红灯（熔断）</t>
  </si>
  <si>
    <t xml:space="preserve">单月发货毛利率</t>
  </si>
  <si>
    <t xml:space="preserve">≥26%</t>
  </si>
  <si>
    <t xml:space="preserve">22%~26%</t>
  </si>
  <si>
    <t xml:space="preserve">&lt;22%</t>
  </si>
  <si>
    <t xml:space="preserve">月销售额达成</t>
  </si>
  <si>
    <r>
      <rPr>
        <b val="true"/>
        <sz val="11"/>
        <color rgb="FF006100"/>
        <rFont val="Microsoft YaHei"/>
        <family val="0"/>
        <charset val="1"/>
      </rPr>
      <t xml:space="preserve">≥400</t>
    </r>
    <r>
      <rPr>
        <b val="true"/>
        <sz val="11"/>
        <color rgb="FF006100"/>
        <rFont val="Source Han Sans SC"/>
        <family val="2"/>
      </rPr>
      <t xml:space="preserve">万</t>
    </r>
  </si>
  <si>
    <r>
      <rPr>
        <b val="true"/>
        <sz val="11"/>
        <color rgb="FFBF8F00"/>
        <rFont val="Microsoft YaHei"/>
        <family val="0"/>
        <charset val="1"/>
      </rPr>
      <t xml:space="preserve">330~400</t>
    </r>
    <r>
      <rPr>
        <b val="true"/>
        <sz val="11"/>
        <color rgb="FFBF8F00"/>
        <rFont val="Source Han Sans SC"/>
        <family val="2"/>
      </rPr>
      <t xml:space="preserve">万</t>
    </r>
  </si>
  <si>
    <r>
      <rPr>
        <b val="true"/>
        <sz val="11"/>
        <color rgb="FFC00000"/>
        <rFont val="Microsoft YaHei"/>
        <family val="0"/>
        <charset val="1"/>
      </rPr>
      <t xml:space="preserve">&lt;330</t>
    </r>
    <r>
      <rPr>
        <b val="true"/>
        <sz val="11"/>
        <color rgb="FFC00000"/>
        <rFont val="Source Han Sans SC"/>
        <family val="2"/>
      </rPr>
      <t xml:space="preserve">万</t>
    </r>
  </si>
  <si>
    <t xml:space="preserve">月均固定费用</t>
  </si>
  <si>
    <r>
      <rPr>
        <b val="true"/>
        <sz val="11"/>
        <color rgb="FF006100"/>
        <rFont val="Microsoft YaHei"/>
        <family val="0"/>
        <charset val="1"/>
      </rPr>
      <t xml:space="preserve">≤20</t>
    </r>
    <r>
      <rPr>
        <b val="true"/>
        <sz val="11"/>
        <color rgb="FF006100"/>
        <rFont val="Source Han Sans SC"/>
        <family val="2"/>
      </rPr>
      <t xml:space="preserve">万</t>
    </r>
  </si>
  <si>
    <r>
      <rPr>
        <b val="true"/>
        <sz val="11"/>
        <color rgb="FFBF8F00"/>
        <rFont val="Microsoft YaHei"/>
        <family val="0"/>
        <charset val="1"/>
      </rPr>
      <t xml:space="preserve">20~25</t>
    </r>
    <r>
      <rPr>
        <b val="true"/>
        <sz val="11"/>
        <color rgb="FFBF8F00"/>
        <rFont val="Source Han Sans SC"/>
        <family val="2"/>
      </rPr>
      <t xml:space="preserve">万</t>
    </r>
  </si>
  <si>
    <r>
      <rPr>
        <b val="true"/>
        <sz val="11"/>
        <color rgb="FFC00000"/>
        <rFont val="Microsoft YaHei"/>
        <family val="0"/>
        <charset val="1"/>
      </rPr>
      <t xml:space="preserve">&gt;25</t>
    </r>
    <r>
      <rPr>
        <b val="true"/>
        <sz val="11"/>
        <color rgb="FFC00000"/>
        <rFont val="Source Han Sans SC"/>
        <family val="2"/>
      </rPr>
      <t xml:space="preserve">万</t>
    </r>
  </si>
  <si>
    <t xml:space="preserve">累计盈亏</t>
  </si>
  <si>
    <t xml:space="preserve">≥0</t>
  </si>
  <si>
    <r>
      <rPr>
        <b val="true"/>
        <sz val="11"/>
        <color rgb="FFBF8F00"/>
        <rFont val="Microsoft YaHei"/>
        <family val="0"/>
        <charset val="1"/>
      </rPr>
      <t xml:space="preserve">-30~0</t>
    </r>
    <r>
      <rPr>
        <b val="true"/>
        <sz val="11"/>
        <color rgb="FFBF8F00"/>
        <rFont val="Source Han Sans SC"/>
        <family val="2"/>
      </rPr>
      <t xml:space="preserve">万</t>
    </r>
  </si>
  <si>
    <r>
      <rPr>
        <b val="true"/>
        <sz val="11"/>
        <color rgb="FFC00000"/>
        <rFont val="Microsoft YaHei"/>
        <family val="0"/>
        <charset val="1"/>
      </rPr>
      <t xml:space="preserve">&lt;-30</t>
    </r>
    <r>
      <rPr>
        <b val="true"/>
        <sz val="11"/>
        <color rgb="FFC00000"/>
        <rFont val="Source Han Sans SC"/>
        <family val="2"/>
      </rPr>
      <t xml:space="preserve">万</t>
    </r>
  </si>
  <si>
    <t xml:space="preserve">八、使用说明</t>
  </si>
  <si>
    <r>
      <rPr>
        <i val="true"/>
        <sz val="9"/>
        <color rgb="FF888888"/>
        <rFont val="Microsoft YaHei"/>
        <family val="0"/>
        <charset val="1"/>
      </rPr>
      <t xml:space="preserve">1. </t>
    </r>
    <r>
      <rPr>
        <i val="true"/>
        <sz val="9"/>
        <color rgb="FF888888"/>
        <rFont val="Source Han Sans SC"/>
        <family val="2"/>
      </rPr>
      <t xml:space="preserve">蓝色字体单元格 </t>
    </r>
    <r>
      <rPr>
        <i val="true"/>
        <sz val="9"/>
        <color rgb="FF888888"/>
        <rFont val="Microsoft YaHei"/>
        <family val="0"/>
        <charset val="1"/>
      </rPr>
      <t xml:space="preserve">= </t>
    </r>
    <r>
      <rPr>
        <i val="true"/>
        <sz val="9"/>
        <color rgb="FF888888"/>
        <rFont val="Source Han Sans SC"/>
        <family val="2"/>
      </rPr>
      <t xml:space="preserve">可手动修改的输入假设（改后全表自动重算）</t>
    </r>
  </si>
  <si>
    <r>
      <rPr>
        <i val="true"/>
        <sz val="9"/>
        <color rgb="FF888888"/>
        <rFont val="Microsoft YaHei"/>
        <family val="0"/>
        <charset val="1"/>
      </rPr>
      <t xml:space="preserve">2. </t>
    </r>
    <r>
      <rPr>
        <i val="true"/>
        <sz val="9"/>
        <color rgb="FF888888"/>
        <rFont val="Source Han Sans SC"/>
        <family val="2"/>
      </rPr>
      <t xml:space="preserve">黑色字体单元格 </t>
    </r>
    <r>
      <rPr>
        <i val="true"/>
        <sz val="9"/>
        <color rgb="FF888888"/>
        <rFont val="Microsoft YaHei"/>
        <family val="0"/>
        <charset val="1"/>
      </rPr>
      <t xml:space="preserve">= Excel</t>
    </r>
    <r>
      <rPr>
        <i val="true"/>
        <sz val="9"/>
        <color rgb="FF888888"/>
        <rFont val="Source Han Sans SC"/>
        <family val="2"/>
      </rPr>
      <t xml:space="preserve">公式自动计算，请勿手动修改</t>
    </r>
  </si>
  <si>
    <r>
      <rPr>
        <i val="true"/>
        <sz val="9"/>
        <color rgb="FF888888"/>
        <rFont val="Microsoft YaHei"/>
        <family val="0"/>
        <charset val="1"/>
      </rPr>
      <t xml:space="preserve">3. </t>
    </r>
    <r>
      <rPr>
        <i val="true"/>
        <sz val="9"/>
        <color rgb="FF888888"/>
        <rFont val="Source Han Sans SC"/>
        <family val="2"/>
      </rPr>
      <t xml:space="preserve">红色底色 </t>
    </r>
    <r>
      <rPr>
        <i val="true"/>
        <sz val="9"/>
        <color rgb="FF888888"/>
        <rFont val="Microsoft YaHei"/>
        <family val="0"/>
        <charset val="1"/>
      </rPr>
      <t xml:space="preserve">= </t>
    </r>
    <r>
      <rPr>
        <i val="true"/>
        <sz val="9"/>
        <color rgb="FF888888"/>
        <rFont val="Source Han Sans SC"/>
        <family val="2"/>
      </rPr>
      <t xml:space="preserve">关键约束</t>
    </r>
    <r>
      <rPr>
        <i val="true"/>
        <sz val="9"/>
        <color rgb="FF888888"/>
        <rFont val="Microsoft YaHei"/>
        <family val="0"/>
        <charset val="1"/>
      </rPr>
      <t xml:space="preserve">/</t>
    </r>
    <r>
      <rPr>
        <i val="true"/>
        <sz val="9"/>
        <color rgb="FF888888"/>
        <rFont val="Source Han Sans SC"/>
        <family val="2"/>
      </rPr>
      <t xml:space="preserve">警戒线</t>
    </r>
  </si>
  <si>
    <r>
      <rPr>
        <i val="true"/>
        <sz val="9"/>
        <color rgb="FF888888"/>
        <rFont val="Microsoft YaHei"/>
        <family val="0"/>
        <charset val="1"/>
      </rPr>
      <t xml:space="preserve">4. </t>
    </r>
    <r>
      <rPr>
        <i val="true"/>
        <sz val="9"/>
        <color rgb="FF888888"/>
        <rFont val="Source Han Sans SC"/>
        <family val="2"/>
      </rPr>
      <t xml:space="preserve">核心可调杠杆：</t>
    </r>
    <r>
      <rPr>
        <i val="true"/>
        <sz val="9"/>
        <color rgb="FF888888"/>
        <rFont val="Microsoft YaHei"/>
        <family val="0"/>
        <charset val="1"/>
      </rPr>
      <t xml:space="preserve">C7(</t>
    </r>
    <r>
      <rPr>
        <i val="true"/>
        <sz val="9"/>
        <color rgb="FF888888"/>
        <rFont val="Source Han Sans SC"/>
        <family val="2"/>
      </rPr>
      <t xml:space="preserve">销售额</t>
    </r>
    <r>
      <rPr>
        <i val="true"/>
        <sz val="9"/>
        <color rgb="FF888888"/>
        <rFont val="Microsoft YaHei"/>
        <family val="0"/>
        <charset val="1"/>
      </rPr>
      <t xml:space="preserve">)</t>
    </r>
    <r>
      <rPr>
        <i val="true"/>
        <sz val="9"/>
        <color rgb="FF888888"/>
        <rFont val="Source Han Sans SC"/>
        <family val="2"/>
      </rPr>
      <t xml:space="preserve">、</t>
    </r>
    <r>
      <rPr>
        <i val="true"/>
        <sz val="9"/>
        <color rgb="FF888888"/>
        <rFont val="Microsoft YaHei"/>
        <family val="0"/>
        <charset val="1"/>
      </rPr>
      <t xml:space="preserve">C8(</t>
    </r>
    <r>
      <rPr>
        <i val="true"/>
        <sz val="9"/>
        <color rgb="FF888888"/>
        <rFont val="Source Han Sans SC"/>
        <family val="2"/>
      </rPr>
      <t xml:space="preserve">毛利率</t>
    </r>
    <r>
      <rPr>
        <i val="true"/>
        <sz val="9"/>
        <color rgb="FF888888"/>
        <rFont val="Microsoft YaHei"/>
        <family val="0"/>
        <charset val="1"/>
      </rPr>
      <t xml:space="preserve">)</t>
    </r>
    <r>
      <rPr>
        <i val="true"/>
        <sz val="9"/>
        <color rgb="FF888888"/>
        <rFont val="Source Han Sans SC"/>
        <family val="2"/>
      </rPr>
      <t xml:space="preserve">、</t>
    </r>
    <r>
      <rPr>
        <i val="true"/>
        <sz val="9"/>
        <color rgb="FF888888"/>
        <rFont val="Microsoft YaHei"/>
        <family val="0"/>
        <charset val="1"/>
      </rPr>
      <t xml:space="preserve">C19~C23(</t>
    </r>
    <r>
      <rPr>
        <i val="true"/>
        <sz val="9"/>
        <color rgb="FF888888"/>
        <rFont val="Source Han Sans SC"/>
        <family val="2"/>
      </rPr>
      <t xml:space="preserve">各科目占比</t>
    </r>
    <r>
      <rPr>
        <i val="true"/>
        <sz val="9"/>
        <color rgb="FF888888"/>
        <rFont val="Microsoft YaHei"/>
        <family val="0"/>
        <charset val="1"/>
      </rPr>
      <t xml:space="preserve">)</t>
    </r>
    <r>
      <rPr>
        <i val="true"/>
        <sz val="9"/>
        <color rgb="FF888888"/>
        <rFont val="Source Han Sans SC"/>
        <family val="2"/>
      </rPr>
      <t xml:space="preserve">、</t>
    </r>
    <r>
      <rPr>
        <i val="true"/>
        <sz val="9"/>
        <color rgb="FF888888"/>
        <rFont val="Microsoft YaHei"/>
        <family val="0"/>
        <charset val="1"/>
      </rPr>
      <t xml:space="preserve">C29~C35(</t>
    </r>
    <r>
      <rPr>
        <i val="true"/>
        <sz val="9"/>
        <color rgb="FF888888"/>
        <rFont val="Source Han Sans SC"/>
        <family val="2"/>
      </rPr>
      <t xml:space="preserve">月均费用</t>
    </r>
    <r>
      <rPr>
        <i val="true"/>
        <sz val="9"/>
        <color rgb="FF888888"/>
        <rFont val="Microsoft YaHei"/>
        <family val="0"/>
        <charset val="1"/>
      </rPr>
      <t xml:space="preserve">)</t>
    </r>
  </si>
  <si>
    <r>
      <rPr>
        <i val="true"/>
        <sz val="9"/>
        <color rgb="FF888888"/>
        <rFont val="Microsoft YaHei"/>
        <family val="0"/>
        <charset val="1"/>
      </rPr>
      <t xml:space="preserve">5. </t>
    </r>
    <r>
      <rPr>
        <i val="true"/>
        <sz val="9"/>
        <color rgb="FF888888"/>
        <rFont val="Source Han Sans SC"/>
        <family val="2"/>
      </rPr>
      <t xml:space="preserve">若毛利率只能做到</t>
    </r>
    <r>
      <rPr>
        <i val="true"/>
        <sz val="9"/>
        <color rgb="FF888888"/>
        <rFont val="Microsoft YaHei"/>
        <family val="0"/>
        <charset val="1"/>
      </rPr>
      <t xml:space="preserve">25%</t>
    </r>
    <r>
      <rPr>
        <i val="true"/>
        <sz val="9"/>
        <color rgb="FF888888"/>
        <rFont val="Source Han Sans SC"/>
        <family val="2"/>
      </rPr>
      <t xml:space="preserve">，保本销售额将升至</t>
    </r>
    <r>
      <rPr>
        <i val="true"/>
        <sz val="9"/>
        <color rgb="FF888888"/>
        <rFont val="Microsoft YaHei"/>
        <family val="0"/>
        <charset val="1"/>
      </rPr>
      <t xml:space="preserve">192</t>
    </r>
    <r>
      <rPr>
        <i val="true"/>
        <sz val="9"/>
        <color rgb="FF888888"/>
        <rFont val="Source Han Sans SC"/>
        <family val="2"/>
      </rPr>
      <t xml:space="preserve">万</t>
    </r>
    <r>
      <rPr>
        <i val="true"/>
        <sz val="9"/>
        <color rgb="FF888888"/>
        <rFont val="Microsoft YaHei"/>
        <family val="0"/>
        <charset val="1"/>
      </rPr>
      <t xml:space="preserve">÷25%=768</t>
    </r>
    <r>
      <rPr>
        <i val="true"/>
        <sz val="9"/>
        <color rgb="FF888888"/>
        <rFont val="Source Han Sans SC"/>
        <family val="2"/>
      </rPr>
      <t xml:space="preserve">万 → 需相应降本</t>
    </r>
  </si>
  <si>
    <r>
      <rPr>
        <i val="true"/>
        <sz val="9"/>
        <color rgb="FF888888"/>
        <rFont val="Microsoft YaHei"/>
        <family val="0"/>
        <charset val="1"/>
      </rPr>
      <t xml:space="preserve">6. </t>
    </r>
    <r>
      <rPr>
        <i val="true"/>
        <sz val="9"/>
        <color rgb="FF888888"/>
        <rFont val="Source Han Sans SC"/>
        <family val="2"/>
      </rPr>
      <t xml:space="preserve">本表为倒推目标值，实际执行需逐月对标并触发红黄灯机制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</si>
</sst>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万元&quot;"/>
    <numFmt numFmtId="166" formatCode="0%"/>
    <numFmt numFmtId="167" formatCode="#,##0.0&quot;万元&quot;"/>
    <numFmt numFmtId="168" formatCode="0.0%"/>
    <numFmt numFmtId="169" formatCode="0.0"/>
    <numFmt numFmtId="170" formatCode="#,##0.0"/>
  </numFmts>
  <fonts count="2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Microsoft YaHei"/>
      <family val="0"/>
      <charset val="1"/>
    </font>
    <font>
      <b val="true"/>
      <sz val="18"/>
      <color rgb="FF1F3864"/>
      <name val="Source Han Sans SC"/>
      <family val="2"/>
    </font>
    <font>
      <b val="true"/>
      <sz val="13"/>
      <color rgb="FF1F3864"/>
      <name val="Source Han Sans SC"/>
      <family val="2"/>
    </font>
    <font>
      <b val="true"/>
      <sz val="13"/>
      <color rgb="FF1F3864"/>
      <name val="Microsoft YaHei"/>
      <family val="0"/>
      <charset val="1"/>
    </font>
    <font>
      <b val="true"/>
      <sz val="11"/>
      <color rgb="FFFFFFFF"/>
      <name val="Source Han Sans SC"/>
      <family val="2"/>
    </font>
    <font>
      <b val="true"/>
      <sz val="11"/>
      <color rgb="FFFFFFFF"/>
      <name val="Microsoft YaHei"/>
      <family val="0"/>
      <charset val="1"/>
    </font>
    <font>
      <b val="true"/>
      <sz val="11"/>
      <color rgb="FF333333"/>
      <name val="Source Han Sans SC"/>
      <family val="2"/>
    </font>
    <font>
      <b val="true"/>
      <sz val="11"/>
      <color rgb="FF0000FF"/>
      <name val="Microsoft YaHei"/>
      <family val="0"/>
      <charset val="1"/>
    </font>
    <font>
      <sz val="10"/>
      <color rgb="FF008000"/>
      <name val="Source Han Sans SC"/>
      <family val="2"/>
    </font>
    <font>
      <i val="true"/>
      <sz val="9"/>
      <color rgb="FF888888"/>
      <name val="Source Han Sans SC"/>
      <family val="2"/>
    </font>
    <font>
      <sz val="11"/>
      <color rgb="FF333333"/>
      <name val="Microsoft YaHei"/>
      <family val="0"/>
      <charset val="1"/>
    </font>
    <font>
      <sz val="10"/>
      <color rgb="FF008000"/>
      <name val="Microsoft YaHei"/>
      <family val="0"/>
      <charset val="1"/>
    </font>
    <font>
      <b val="true"/>
      <sz val="11"/>
      <color rgb="FFC00000"/>
      <name val="Source Han Sans SC"/>
      <family val="2"/>
    </font>
    <font>
      <b val="true"/>
      <sz val="11"/>
      <color rgb="FFC00000"/>
      <name val="Microsoft YaHei"/>
      <family val="0"/>
      <charset val="1"/>
    </font>
    <font>
      <b val="true"/>
      <sz val="11"/>
      <color rgb="FF333333"/>
      <name val="Microsoft YaHei"/>
      <family val="0"/>
      <charset val="1"/>
    </font>
    <font>
      <i val="true"/>
      <sz val="9"/>
      <color rgb="FF888888"/>
      <name val="Microsoft YaHei"/>
      <family val="0"/>
      <charset val="1"/>
    </font>
    <font>
      <b val="true"/>
      <sz val="11"/>
      <color rgb="FF006100"/>
      <name val="Microsoft YaHei"/>
      <family val="0"/>
      <charset val="1"/>
    </font>
    <font>
      <b val="true"/>
      <sz val="11"/>
      <color rgb="FFBF8F00"/>
      <name val="Microsoft YaHei"/>
      <family val="0"/>
      <charset val="1"/>
    </font>
    <font>
      <b val="true"/>
      <sz val="11"/>
      <color rgb="FF006100"/>
      <name val="Source Han Sans SC"/>
      <family val="2"/>
    </font>
    <font>
      <b val="true"/>
      <sz val="11"/>
      <color rgb="FFBF8F00"/>
      <name val="Source Han Sans S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2CC"/>
        <bgColor rgb="FFFCE4EC"/>
      </patternFill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FCE4EC"/>
        <bgColor rgb="FFFFF2CC"/>
      </patternFill>
    </fill>
    <fill>
      <patternFill patternType="solid">
        <fgColor rgb="FFE2EFDA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/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E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.99"/>
    <col collapsed="false" customWidth="true" hidden="false" outlineLevel="0" max="2" min="2" style="0" width="30.01"/>
    <col collapsed="false" customWidth="true" hidden="false" outlineLevel="0" max="3" min="3" style="0" width="19.99"/>
    <col collapsed="false" customWidth="true" hidden="false" outlineLevel="0" max="4" min="4" style="0" width="22.01"/>
    <col collapsed="false" customWidth="true" hidden="false" outlineLevel="0" max="5" min="5" style="0" width="26"/>
    <col collapsed="false" customWidth="true" hidden="false" outlineLevel="0" max="6" min="6" style="0" width="3.99"/>
  </cols>
  <sheetData>
    <row r="2" customFormat="false" ht="1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true" outlineLevel="0" collapsed="false">
      <c r="B3" s="2" t="s">
        <v>1</v>
      </c>
      <c r="C3" s="2"/>
      <c r="D3" s="2"/>
      <c r="E3" s="2"/>
    </row>
    <row r="5" customFormat="false" ht="15" hidden="false" customHeight="true" outlineLevel="0" collapsed="false">
      <c r="B5" s="3" t="s">
        <v>2</v>
      </c>
      <c r="C5" s="3"/>
      <c r="D5" s="3"/>
      <c r="E5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</row>
    <row r="7" customFormat="false" ht="15" hidden="false" customHeight="false" outlineLevel="0" collapsed="false">
      <c r="B7" s="5" t="s">
        <v>7</v>
      </c>
      <c r="C7" s="6" t="n">
        <v>2400</v>
      </c>
      <c r="D7" s="7" t="s">
        <v>8</v>
      </c>
      <c r="E7" s="8" t="s">
        <v>9</v>
      </c>
    </row>
    <row r="8" customFormat="false" ht="15" hidden="false" customHeight="false" outlineLevel="0" collapsed="false">
      <c r="B8" s="5" t="s">
        <v>10</v>
      </c>
      <c r="C8" s="9" t="n">
        <v>0.28</v>
      </c>
      <c r="D8" s="7" t="s">
        <v>11</v>
      </c>
      <c r="E8" s="8" t="s">
        <v>9</v>
      </c>
    </row>
    <row r="9" customFormat="false" ht="15" hidden="false" customHeight="false" outlineLevel="0" collapsed="false">
      <c r="B9" s="5" t="s">
        <v>12</v>
      </c>
      <c r="C9" s="6" t="n">
        <v>0</v>
      </c>
      <c r="D9" s="7" t="s">
        <v>13</v>
      </c>
      <c r="E9" s="8" t="n">
        <f aca="false">0</f>
        <v>0</v>
      </c>
    </row>
    <row r="11" customFormat="false" ht="15" hidden="false" customHeight="true" outlineLevel="0" collapsed="false">
      <c r="B11" s="3" t="s">
        <v>14</v>
      </c>
      <c r="C11" s="3"/>
      <c r="D11" s="3"/>
      <c r="E11" s="3"/>
    </row>
    <row r="12" customFormat="false" ht="15" hidden="false" customHeight="false" outlineLevel="0" collapsed="false">
      <c r="B12" s="4" t="s">
        <v>3</v>
      </c>
      <c r="C12" s="4" t="s">
        <v>15</v>
      </c>
      <c r="D12" s="4" t="s">
        <v>16</v>
      </c>
      <c r="E12" s="4" t="s">
        <v>17</v>
      </c>
    </row>
    <row r="13" customFormat="false" ht="15" hidden="false" customHeight="false" outlineLevel="0" collapsed="false">
      <c r="B13" s="10" t="s">
        <v>18</v>
      </c>
      <c r="C13" s="11" t="n">
        <f aca="false">C7*C8</f>
        <v>672</v>
      </c>
      <c r="D13" s="12" t="s">
        <v>19</v>
      </c>
    </row>
    <row r="14" customFormat="false" ht="15" hidden="false" customHeight="false" outlineLevel="0" collapsed="false">
      <c r="B14" s="13" t="s">
        <v>20</v>
      </c>
      <c r="C14" s="14" t="n">
        <f aca="false">C7-C13</f>
        <v>1728</v>
      </c>
      <c r="D14" s="15" t="s">
        <v>21</v>
      </c>
    </row>
    <row r="15" customFormat="false" ht="15" hidden="false" customHeight="false" outlineLevel="0" collapsed="false">
      <c r="B15" s="10" t="s">
        <v>22</v>
      </c>
      <c r="C15" s="16" t="n">
        <f aca="false">C14/C7</f>
        <v>0.72</v>
      </c>
      <c r="D15" s="12" t="s">
        <v>23</v>
      </c>
    </row>
    <row r="17" customFormat="false" ht="15" hidden="false" customHeight="true" outlineLevel="0" collapsed="false">
      <c r="B17" s="3" t="s">
        <v>24</v>
      </c>
      <c r="C17" s="3"/>
      <c r="D17" s="3"/>
      <c r="E17" s="3"/>
    </row>
    <row r="18" customFormat="false" ht="15" hidden="false" customHeight="false" outlineLevel="0" collapsed="false">
      <c r="B18" s="4" t="s">
        <v>25</v>
      </c>
      <c r="C18" s="4" t="s">
        <v>26</v>
      </c>
      <c r="D18" s="4" t="s">
        <v>27</v>
      </c>
      <c r="E18" s="4" t="s">
        <v>28</v>
      </c>
    </row>
    <row r="19" customFormat="false" ht="15" hidden="false" customHeight="false" outlineLevel="0" collapsed="false">
      <c r="B19" s="5" t="s">
        <v>29</v>
      </c>
      <c r="C19" s="9" t="n">
        <v>0.57</v>
      </c>
      <c r="D19" s="17" t="n">
        <f aca="false">C7*C19</f>
        <v>1368</v>
      </c>
      <c r="E19" s="7" t="s">
        <v>30</v>
      </c>
    </row>
    <row r="20" customFormat="false" ht="15" hidden="false" customHeight="false" outlineLevel="0" collapsed="false">
      <c r="B20" s="5" t="s">
        <v>31</v>
      </c>
      <c r="C20" s="9" t="n">
        <v>0.07</v>
      </c>
      <c r="D20" s="17" t="n">
        <f aca="false">C7*C20</f>
        <v>168</v>
      </c>
      <c r="E20" s="7" t="s">
        <v>32</v>
      </c>
    </row>
    <row r="21" customFormat="false" ht="15" hidden="false" customHeight="false" outlineLevel="0" collapsed="false">
      <c r="B21" s="5" t="s">
        <v>33</v>
      </c>
      <c r="C21" s="9" t="n">
        <v>0.03</v>
      </c>
      <c r="D21" s="17" t="n">
        <f aca="false">C7*C21</f>
        <v>72</v>
      </c>
      <c r="E21" s="7" t="s">
        <v>34</v>
      </c>
    </row>
    <row r="22" customFormat="false" ht="15" hidden="false" customHeight="false" outlineLevel="0" collapsed="false">
      <c r="B22" s="5" t="s">
        <v>35</v>
      </c>
      <c r="C22" s="9" t="n">
        <v>0.05</v>
      </c>
      <c r="D22" s="17" t="n">
        <f aca="false">C7*C22</f>
        <v>120</v>
      </c>
      <c r="E22" s="7" t="s">
        <v>36</v>
      </c>
    </row>
    <row r="23" customFormat="false" ht="15" hidden="false" customHeight="false" outlineLevel="0" collapsed="false">
      <c r="B23" s="5" t="s">
        <v>37</v>
      </c>
      <c r="C23" s="9" t="n">
        <v>0</v>
      </c>
      <c r="D23" s="17" t="n">
        <f aca="false">C7*C23</f>
        <v>0</v>
      </c>
      <c r="E23" s="7" t="s">
        <v>38</v>
      </c>
    </row>
    <row r="24" customFormat="false" ht="15" hidden="false" customHeight="false" outlineLevel="0" collapsed="false">
      <c r="B24" s="13" t="s">
        <v>39</v>
      </c>
      <c r="C24" s="18" t="n">
        <f aca="false">SUM(C19:C23)</f>
        <v>0.72</v>
      </c>
      <c r="D24" s="19" t="n">
        <f aca="false">SUM(D19:D23)</f>
        <v>1728</v>
      </c>
      <c r="E24" s="13" t="s">
        <v>40</v>
      </c>
    </row>
    <row r="25" customFormat="false" ht="15" hidden="false" customHeight="false" outlineLevel="0" collapsed="false">
      <c r="B25" s="10" t="s">
        <v>41</v>
      </c>
      <c r="C25" s="16" t="n">
        <f aca="false">1-C24</f>
        <v>0.28</v>
      </c>
      <c r="D25" s="12" t="str">
        <f aca="false">IF(C25&gt;=C8,"✓ 达标","✗ 超标")</f>
        <v>✓ 达标</v>
      </c>
      <c r="E25" s="12" t="s">
        <v>42</v>
      </c>
    </row>
    <row r="27" customFormat="false" ht="15" hidden="false" customHeight="true" outlineLevel="0" collapsed="false">
      <c r="B27" s="3" t="s">
        <v>43</v>
      </c>
      <c r="C27" s="3"/>
      <c r="D27" s="3"/>
      <c r="E27" s="3"/>
    </row>
    <row r="28" customFormat="false" ht="15" hidden="false" customHeight="false" outlineLevel="0" collapsed="false">
      <c r="B28" s="4" t="s">
        <v>44</v>
      </c>
      <c r="C28" s="4" t="s">
        <v>45</v>
      </c>
      <c r="D28" s="4" t="s">
        <v>46</v>
      </c>
      <c r="E28" s="4" t="s">
        <v>47</v>
      </c>
    </row>
    <row r="29" customFormat="false" ht="15" hidden="false" customHeight="false" outlineLevel="0" collapsed="false">
      <c r="B29" s="5" t="s">
        <v>48</v>
      </c>
      <c r="C29" s="20" t="n">
        <v>10</v>
      </c>
      <c r="D29" s="21" t="n">
        <f aca="false">C29*6</f>
        <v>60</v>
      </c>
      <c r="E29" s="22" t="s">
        <v>49</v>
      </c>
    </row>
    <row r="30" customFormat="false" ht="15" hidden="false" customHeight="false" outlineLevel="0" collapsed="false">
      <c r="B30" s="5" t="s">
        <v>50</v>
      </c>
      <c r="C30" s="20" t="n">
        <v>4</v>
      </c>
      <c r="D30" s="21" t="n">
        <f aca="false">C30*6</f>
        <v>24</v>
      </c>
      <c r="E30" s="7" t="s">
        <v>51</v>
      </c>
    </row>
    <row r="31" customFormat="false" ht="15" hidden="false" customHeight="false" outlineLevel="0" collapsed="false">
      <c r="B31" s="5" t="s">
        <v>52</v>
      </c>
      <c r="C31" s="20" t="n">
        <v>3</v>
      </c>
      <c r="D31" s="21" t="n">
        <f aca="false">C31*6</f>
        <v>18</v>
      </c>
      <c r="E31" s="7" t="s">
        <v>53</v>
      </c>
    </row>
    <row r="32" customFormat="false" ht="15" hidden="false" customHeight="false" outlineLevel="0" collapsed="false">
      <c r="B32" s="5" t="s">
        <v>54</v>
      </c>
      <c r="C32" s="20" t="n">
        <v>1.5</v>
      </c>
      <c r="D32" s="21" t="n">
        <f aca="false">C32*6</f>
        <v>9</v>
      </c>
      <c r="E32" s="7" t="s">
        <v>55</v>
      </c>
    </row>
    <row r="33" customFormat="false" ht="15" hidden="false" customHeight="false" outlineLevel="0" collapsed="false">
      <c r="B33" s="5" t="s">
        <v>56</v>
      </c>
      <c r="C33" s="20" t="n">
        <v>0.5</v>
      </c>
      <c r="D33" s="21" t="n">
        <f aca="false">C33*6</f>
        <v>3</v>
      </c>
      <c r="E33" s="7" t="s">
        <v>57</v>
      </c>
    </row>
    <row r="34" customFormat="false" ht="15" hidden="false" customHeight="false" outlineLevel="0" collapsed="false">
      <c r="B34" s="5" t="s">
        <v>58</v>
      </c>
      <c r="C34" s="20" t="n">
        <v>0.5</v>
      </c>
      <c r="D34" s="21" t="n">
        <f aca="false">C34*6</f>
        <v>3</v>
      </c>
      <c r="E34" s="7" t="s">
        <v>59</v>
      </c>
    </row>
    <row r="35" customFormat="false" ht="15" hidden="false" customHeight="false" outlineLevel="0" collapsed="false">
      <c r="B35" s="5" t="s">
        <v>60</v>
      </c>
      <c r="C35" s="20" t="n">
        <v>0.5</v>
      </c>
      <c r="D35" s="21" t="n">
        <f aca="false">C35*6</f>
        <v>3</v>
      </c>
      <c r="E35" s="7" t="s">
        <v>61</v>
      </c>
    </row>
    <row r="36" customFormat="false" ht="15" hidden="false" customHeight="false" outlineLevel="0" collapsed="false">
      <c r="B36" s="13" t="s">
        <v>62</v>
      </c>
      <c r="C36" s="23" t="n">
        <f aca="false">SUM(C29:C35)</f>
        <v>20</v>
      </c>
      <c r="D36" s="24" t="n">
        <f aca="false">SUM(D29:D35)</f>
        <v>120</v>
      </c>
      <c r="E36" s="13" t="s">
        <v>63</v>
      </c>
    </row>
    <row r="38" customFormat="false" ht="15" hidden="false" customHeight="true" outlineLevel="0" collapsed="false">
      <c r="B38" s="3" t="s">
        <v>64</v>
      </c>
      <c r="C38" s="3"/>
      <c r="D38" s="3"/>
      <c r="E38" s="3"/>
    </row>
    <row r="39" customFormat="false" ht="15" hidden="false" customHeight="false" outlineLevel="0" collapsed="false">
      <c r="B39" s="4" t="s">
        <v>65</v>
      </c>
      <c r="C39" s="4" t="s">
        <v>66</v>
      </c>
      <c r="D39" s="4" t="s">
        <v>67</v>
      </c>
      <c r="E39" s="4" t="s">
        <v>68</v>
      </c>
    </row>
    <row r="41" customFormat="false" ht="15" hidden="false" customHeight="false" outlineLevel="0" collapsed="false">
      <c r="B41" s="5" t="s">
        <v>69</v>
      </c>
      <c r="C41" s="17" t="n">
        <f aca="false">D36/C8</f>
        <v>428.571428571429</v>
      </c>
      <c r="D41" s="25" t="s">
        <v>70</v>
      </c>
      <c r="E41" s="7" t="str">
        <f aca="false">IF(C41&lt;=C7,"✓ 达标","✗ 超标")</f>
        <v>✓ 达标</v>
      </c>
    </row>
    <row r="42" customFormat="false" ht="15" hidden="false" customHeight="false" outlineLevel="0" collapsed="false">
      <c r="B42" s="5" t="s">
        <v>71</v>
      </c>
      <c r="C42" s="17" t="n">
        <f aca="false">C13-D36</f>
        <v>552</v>
      </c>
      <c r="D42" s="25" t="s">
        <v>72</v>
      </c>
      <c r="E42" s="7" t="str">
        <f aca="false">IF(C42&gt;=0,"✓ 达标","✗ 超标")</f>
        <v>✓ 达标</v>
      </c>
    </row>
    <row r="43" customFormat="false" ht="15" hidden="false" customHeight="false" outlineLevel="0" collapsed="false">
      <c r="B43" s="5" t="s">
        <v>22</v>
      </c>
      <c r="C43" s="26" t="n">
        <f aca="false">C24</f>
        <v>0.72</v>
      </c>
      <c r="D43" s="25" t="s">
        <v>73</v>
      </c>
      <c r="E43" s="7" t="str">
        <f aca="false">IF(C43&lt;=0.72,"✓ 达标","✗ 超标")</f>
        <v>✓ 达标</v>
      </c>
    </row>
    <row r="44" customFormat="false" ht="15" hidden="false" customHeight="false" outlineLevel="0" collapsed="false">
      <c r="B44" s="5" t="s">
        <v>74</v>
      </c>
      <c r="C44" s="17" t="n">
        <f aca="false">D36/C7</f>
        <v>0.05</v>
      </c>
      <c r="D44" s="25" t="s">
        <v>75</v>
      </c>
      <c r="E44" s="7" t="str">
        <f aca="false">IF(C44&lt;=0.05,"✓ 达标","✗ 超标")</f>
        <v>✓ 达标</v>
      </c>
    </row>
    <row r="47" customFormat="false" ht="15" hidden="false" customHeight="true" outlineLevel="0" collapsed="false">
      <c r="B47" s="3" t="s">
        <v>76</v>
      </c>
      <c r="C47" s="3"/>
      <c r="D47" s="3"/>
      <c r="E47" s="3"/>
    </row>
    <row r="48" customFormat="false" ht="15" hidden="false" customHeight="false" outlineLevel="0" collapsed="false">
      <c r="B48" s="4" t="s">
        <v>77</v>
      </c>
      <c r="C48" s="4" t="s">
        <v>78</v>
      </c>
      <c r="D48" s="4" t="s">
        <v>79</v>
      </c>
      <c r="E48" s="27" t="s">
        <v>80</v>
      </c>
    </row>
    <row r="49" customFormat="false" ht="15" hidden="false" customHeight="false" outlineLevel="0" collapsed="false">
      <c r="B49" s="28" t="s">
        <v>81</v>
      </c>
      <c r="C49" s="29" t="n">
        <v>0.3</v>
      </c>
      <c r="D49" s="30" t="n">
        <f aca="false">D36/C49</f>
        <v>400</v>
      </c>
      <c r="E49" s="28" t="s">
        <v>82</v>
      </c>
    </row>
    <row r="50" customFormat="false" ht="15" hidden="false" customHeight="false" outlineLevel="0" collapsed="false">
      <c r="B50" s="31" t="s">
        <v>83</v>
      </c>
      <c r="C50" s="32" t="n">
        <v>0.28</v>
      </c>
      <c r="D50" s="33" t="n">
        <f aca="false">D36/C50</f>
        <v>428.571428571429</v>
      </c>
      <c r="E50" s="31" t="s">
        <v>84</v>
      </c>
    </row>
    <row r="51" customFormat="false" ht="15" hidden="false" customHeight="false" outlineLevel="0" collapsed="false">
      <c r="B51" s="34" t="s">
        <v>85</v>
      </c>
      <c r="C51" s="35" t="n">
        <v>0.25</v>
      </c>
      <c r="D51" s="36" t="n">
        <f aca="false">D36/C51</f>
        <v>480</v>
      </c>
      <c r="E51" s="34" t="s">
        <v>86</v>
      </c>
    </row>
    <row r="52" customFormat="false" ht="15" hidden="false" customHeight="false" outlineLevel="0" collapsed="false">
      <c r="B52" s="34" t="s">
        <v>87</v>
      </c>
      <c r="C52" s="35" t="n">
        <v>0.22</v>
      </c>
      <c r="D52" s="36" t="n">
        <f aca="false">D36/C52</f>
        <v>545.454545454546</v>
      </c>
      <c r="E52" s="34" t="s">
        <v>88</v>
      </c>
    </row>
    <row r="53" customFormat="false" ht="15" hidden="false" customHeight="false" outlineLevel="0" collapsed="false">
      <c r="B53" s="34" t="s">
        <v>89</v>
      </c>
      <c r="C53" s="35" t="n">
        <v>0.2</v>
      </c>
      <c r="D53" s="36" t="n">
        <f aca="false">D36/C53</f>
        <v>600</v>
      </c>
      <c r="E53" s="34" t="s">
        <v>90</v>
      </c>
    </row>
    <row r="56" customFormat="false" ht="15" hidden="false" customHeight="true" outlineLevel="0" collapsed="false">
      <c r="B56" s="3" t="s">
        <v>91</v>
      </c>
      <c r="C56" s="3"/>
      <c r="D56" s="3"/>
      <c r="E56" s="3"/>
    </row>
    <row r="57" customFormat="false" ht="15" hidden="false" customHeight="false" outlineLevel="0" collapsed="false">
      <c r="B57" s="4" t="s">
        <v>92</v>
      </c>
      <c r="C57" s="4" t="s">
        <v>93</v>
      </c>
      <c r="D57" s="4" t="s">
        <v>94</v>
      </c>
      <c r="E57" s="4" t="s">
        <v>95</v>
      </c>
    </row>
    <row r="58" customFormat="false" ht="15" hidden="false" customHeight="false" outlineLevel="0" collapsed="false">
      <c r="B58" s="5" t="s">
        <v>96</v>
      </c>
      <c r="C58" s="37" t="s">
        <v>97</v>
      </c>
      <c r="D58" s="38" t="s">
        <v>98</v>
      </c>
      <c r="E58" s="39" t="s">
        <v>99</v>
      </c>
    </row>
    <row r="59" customFormat="false" ht="15" hidden="false" customHeight="false" outlineLevel="0" collapsed="false">
      <c r="B59" s="5" t="s">
        <v>100</v>
      </c>
      <c r="C59" s="37" t="s">
        <v>101</v>
      </c>
      <c r="D59" s="38" t="s">
        <v>102</v>
      </c>
      <c r="E59" s="39" t="s">
        <v>103</v>
      </c>
    </row>
    <row r="60" customFormat="false" ht="15" hidden="false" customHeight="false" outlineLevel="0" collapsed="false">
      <c r="B60" s="5" t="s">
        <v>104</v>
      </c>
      <c r="C60" s="37" t="s">
        <v>105</v>
      </c>
      <c r="D60" s="38" t="s">
        <v>106</v>
      </c>
      <c r="E60" s="39" t="s">
        <v>107</v>
      </c>
    </row>
    <row r="61" customFormat="false" ht="15" hidden="false" customHeight="false" outlineLevel="0" collapsed="false">
      <c r="B61" s="5" t="s">
        <v>108</v>
      </c>
      <c r="C61" s="37" t="s">
        <v>109</v>
      </c>
      <c r="D61" s="38" t="s">
        <v>110</v>
      </c>
      <c r="E61" s="39" t="s">
        <v>111</v>
      </c>
    </row>
    <row r="63" customFormat="false" ht="15" hidden="false" customHeight="true" outlineLevel="0" collapsed="false">
      <c r="B63" s="40" t="s">
        <v>112</v>
      </c>
      <c r="C63" s="40"/>
      <c r="D63" s="40"/>
      <c r="E63" s="40"/>
    </row>
    <row r="64" customFormat="false" ht="15" hidden="false" customHeight="false" outlineLevel="0" collapsed="false">
      <c r="B64" s="41" t="s">
        <v>113</v>
      </c>
    </row>
    <row r="65" customFormat="false" ht="15" hidden="false" customHeight="false" outlineLevel="0" collapsed="false">
      <c r="B65" s="41" t="s">
        <v>114</v>
      </c>
    </row>
    <row r="66" customFormat="false" ht="15" hidden="false" customHeight="false" outlineLevel="0" collapsed="false">
      <c r="B66" s="41" t="s">
        <v>115</v>
      </c>
    </row>
    <row r="67" customFormat="false" ht="15" hidden="false" customHeight="false" outlineLevel="0" collapsed="false">
      <c r="B67" s="41" t="s">
        <v>116</v>
      </c>
    </row>
    <row r="68" customFormat="false" ht="15" hidden="false" customHeight="false" outlineLevel="0" collapsed="false">
      <c r="B68" s="41" t="s">
        <v>117</v>
      </c>
    </row>
    <row r="69" customFormat="false" ht="15" hidden="false" customHeight="false" outlineLevel="0" collapsed="false">
      <c r="B69" s="41" t="s">
        <v>118</v>
      </c>
    </row>
  </sheetData>
  <mergeCells count="10">
    <mergeCell ref="B2:E2"/>
    <mergeCell ref="B3:E3"/>
    <mergeCell ref="B5:E5"/>
    <mergeCell ref="B11:E11"/>
    <mergeCell ref="B17:E17"/>
    <mergeCell ref="B27:E27"/>
    <mergeCell ref="B38:E38"/>
    <mergeCell ref="B47:E47"/>
    <mergeCell ref="B56:E56"/>
    <mergeCell ref="B63:E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2026-07-28T05:16:09Z</dcterms:created>
  <dc:creator>openpyxl</dc:creator>
  <dc:description/>
  <dc:language>en-US</dc:language>
  <cp:lastModifiedBy/>
  <dcterms:modified xsi:type="dcterms:W3CDTF">2026-07-28T05:16:09Z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{"Label":"1","ContentProducer":"001191440300708461136T1WFUO","ProduceID":"8189e0245f594f2d1a21357aaa353ddf-Om8G","ReservedCode1":"{\"Type\":\" TC260PG\",\"Version\":1,\"Bindings\":[{\"Type\":\"soft\",\"AlgID\":\"sm3\",\"Value\":\"40e861f8fc6efe8263b29f8dd54d31dde3d1d6e41251f6714d62c91b6dddf467\"},{\"Type\":\"hash\",\"AlgID\":\"sm3\",\"Value\":\"7b9e9f349ffd9545adc0743a0833ccec2098af364f5c6fd5e1c915832d84395e\"}],\"PubSD\":[{\"Type\":\"DS\",\"AlgID\":\"sm2\",\"TBSData\":{\"Type\":\"Binding\",\"BType\":\"hash\"},\"Signature\":\"30450220467b6a0a3c4b51121a828e0366d3a26a7f545188223315623bc6d2d38370e614022100859e082a56eb1e98291c4f5d7150fc3ba978bb0147337106a2eb89120c2a649d\"},{\"Type\":\"PubKey\",\"AlgID\":\"sm2\",\"KeyValue\":\"0407f79b28a17a752b3aae4305c98b48978213832729a2571850b1310b2bc9fe8fee039ccf25ebfeac27502414d9fcef792d777183c98893d226171c2f7a3289a2\"}],\"Extension\":{\"Timestamp\":1785215789,\"KeyVersion\":\"v1-TxLeOmf7bqU223\"}}","ContentPropagator":"001191440300708461136T1WFUO","PropagateID":"8189e0245f594f2d1a21357aaa353ddf-Om8G","ReservedCode2":"{\"Type\":\" TC260PG\",\"Version\":1,\"Bindings\":[{\"Type\":\"soft\",\"AlgID\":\"sm3\",\"Value\":\"40e861f8fc6efe8263b29f8dd54d31dde3d1d6e41251f6714d62c91b6dddf467\"},{\"Type\":\"hash\",\"AlgID\":\"sm3\",\"Value\":\"7b9e9f349ffd9545adc0743a0833ccec2098af364f5c6fd5e1c915832d84395e\"}],\"PubSD\":[{\"Type\":\"DS\",\"AlgID\":\"sm2\",\"TBSData\":{\"Type\":\"Binding\",\"BType\":\"hash\"},\"Signature\":\"304402200f4c683f1e5c6c21e0e2d15a9bc72c25213e5298d32630aaddc46fe8bfc986f402201bbf6718b6a949511101cc2e8607f43b1e24d982b105bcf92f7dc7b971461d2e\"},{\"Type\":\"PubKey\",\"AlgID\":\"sm2\",\"KeyValue\":\"0407f79b28a17a752b3aae4305c98b48978213832729a2571850b1310b2bc9fe8fee039ccf25ebfeac27502414d9fcef792d777183c98893d226171c2f7a3289a2\"}],\"Extension\":{\"Timestamp\":1785215789,\"KeyVersion\":\"v1-TxLeOmf7bqU223\"}}"}</vt:lpwstr>
  </property>
</Properties>
</file>